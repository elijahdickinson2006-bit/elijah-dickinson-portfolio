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806178d05c6cde/Desktop/Wind Tunnel/"/>
    </mc:Choice>
  </mc:AlternateContent>
  <xr:revisionPtr revIDLastSave="4" documentId="8_{7110C50C-EE8F-4EA7-B22B-570B2CA8D760}" xr6:coauthVersionLast="47" xr6:coauthVersionMax="47" xr10:uidLastSave="{18A4AFEC-97C7-43B6-A94B-509AF30A9F8A}"/>
  <bookViews>
    <workbookView xWindow="-120" yWindow="-120" windowWidth="29040" windowHeight="15840" xr2:uid="{00000000-000D-0000-FFFF-FFFF00000000}"/>
  </bookViews>
  <sheets>
    <sheet name="Final BOM" sheetId="1" r:id="rId1"/>
  </sheets>
  <definedNames>
    <definedName name="_xlnm._FilterDatabase" localSheetId="0" hidden="1">'Final BOM'!$A$1:$H$34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3" i="1"/>
  <c r="G32" i="1"/>
</calcChain>
</file>

<file path=xl/sharedStrings.xml><?xml version="1.0" encoding="utf-8"?>
<sst xmlns="http://schemas.openxmlformats.org/spreadsheetml/2006/main" count="158" uniqueCount="82">
  <si>
    <t>Category</t>
  </si>
  <si>
    <t>Item</t>
  </si>
  <si>
    <t>Description</t>
  </si>
  <si>
    <t>Qty</t>
  </si>
  <si>
    <t>Vendor / Date</t>
  </si>
  <si>
    <t>Unit Price (USD)</t>
  </si>
  <si>
    <t>Line Total (USD)</t>
  </si>
  <si>
    <t>Status</t>
  </si>
  <si>
    <t>Airflow</t>
  </si>
  <si>
    <t>Inline Duct Fan</t>
  </si>
  <si>
    <t>VIVOSUN 6 in, 345 CFM, speed controller</t>
  </si>
  <si>
    <t>Amazon</t>
  </si>
  <si>
    <t>Purchased</t>
  </si>
  <si>
    <t>Hardware</t>
  </si>
  <si>
    <t>M3 Screw Kit</t>
  </si>
  <si>
    <t>750 pc M3 screw/nut/washer assortment</t>
  </si>
  <si>
    <t>Electronics</t>
  </si>
  <si>
    <t>Soldering Iron</t>
  </si>
  <si>
    <t>80W soldering kit</t>
  </si>
  <si>
    <t>Tools</t>
  </si>
  <si>
    <t>Digital Angle Finder</t>
  </si>
  <si>
    <t>Digital angle gauge/protractor</t>
  </si>
  <si>
    <t>Flow Conditioning</t>
  </si>
  <si>
    <t>Honeycomb</t>
  </si>
  <si>
    <t>300 x 300 x 15 mm honeycomb panel</t>
  </si>
  <si>
    <t>Arduino</t>
  </si>
  <si>
    <t>ELEGOO UNO R3</t>
  </si>
  <si>
    <t>Instrumentation</t>
  </si>
  <si>
    <t>HX711</t>
  </si>
  <si>
    <t>Load cell amplifier</t>
  </si>
  <si>
    <t>Breadboard Kit</t>
  </si>
  <si>
    <t>Breadboards and jumper wires</t>
  </si>
  <si>
    <t>Acrylic Cutter</t>
  </si>
  <si>
    <t>Scoring knife</t>
  </si>
  <si>
    <t>Digital Calipers</t>
  </si>
  <si>
    <t>6 in digital caliper</t>
  </si>
  <si>
    <t>Scissors</t>
  </si>
  <si>
    <t>3-pack heavy duty</t>
  </si>
  <si>
    <t>Aluminum Screen</t>
  </si>
  <si>
    <t>Aluminum mesh roll</t>
  </si>
  <si>
    <t>Stainless Rods</t>
  </si>
  <si>
    <t>1/4 in x 24 in rods, 4-pack</t>
  </si>
  <si>
    <t>Sealing</t>
  </si>
  <si>
    <t>Weatherstrip</t>
  </si>
  <si>
    <t>1/2 x 1/8 in foam tape</t>
  </si>
  <si>
    <t>Load Cell</t>
  </si>
  <si>
    <t>SparkFun 5 kg straight bar load cell</t>
  </si>
  <si>
    <t>SparkFun</t>
  </si>
  <si>
    <t>Gorilla Ultimate Epoxy</t>
  </si>
  <si>
    <t>0.85 fl oz</t>
  </si>
  <si>
    <t>Home Depot (05/22/26)</t>
  </si>
  <si>
    <t>2 in Heavy Spring Clamps</t>
  </si>
  <si>
    <t>Anvil metal heavy spring clamps</t>
  </si>
  <si>
    <t>Neodymium Disc Magnets</t>
  </si>
  <si>
    <t>0.7 x 0.11 in, 3-pack</t>
  </si>
  <si>
    <t>Kwik Seal</t>
  </si>
  <si>
    <t>Tub &amp; Tile White, 10.1 oz</t>
  </si>
  <si>
    <t>Home Depot (07/15/26)</t>
  </si>
  <si>
    <t>3-1/2 in Inside Corner Brace</t>
  </si>
  <si>
    <t>Zinc, 4-pack</t>
  </si>
  <si>
    <t>2 in Inside Corner Brace</t>
  </si>
  <si>
    <t>#12 x 2 in Wood Screws</t>
  </si>
  <si>
    <t>Zinc Phillips flat head, 12-pack</t>
  </si>
  <si>
    <t>#8 x 3/4 in Wood Screws</t>
  </si>
  <si>
    <t>#10-32 Machine Screw Nuts</t>
  </si>
  <si>
    <t>Zinc, 12-pack</t>
  </si>
  <si>
    <t>#10 Bonded Sealing Washers</t>
  </si>
  <si>
    <t>Zinc, 20-pack</t>
  </si>
  <si>
    <t>Stanley 15 in Hand Saw</t>
  </si>
  <si>
    <t>15 in hand saw</t>
  </si>
  <si>
    <t>Structure</t>
  </si>
  <si>
    <t>Clear Acrylic Sheet</t>
  </si>
  <si>
    <t>OPTIX 0.093 in x 20 in x 32 in</t>
  </si>
  <si>
    <t>2x3 Lumber</t>
  </si>
  <si>
    <t>2 in x 3 in x 8 ft dimensional lumber</t>
  </si>
  <si>
    <t>1/4 in BCX Plywood</t>
  </si>
  <si>
    <t>4 ft x 8 ft sheet</t>
  </si>
  <si>
    <t>Amazon subtotal</t>
  </si>
  <si>
    <t>SparkFun subtotal</t>
  </si>
  <si>
    <t>Home Depot 05/22/26 receipt total (incl. tax)</t>
  </si>
  <si>
    <t>Home Depot 07/15/26 receipt total (incl. tax)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</si>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</sst>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1" topLeftCell="A2" activePane="bottomLeft" state="frozen"/>
      <selection pane="bottomLeft" activeCell="G36" sqref="G36"/>
    </sheetView>
  </sheetViews>
  <sheetFormatPr defaultRowHeight="15" x14ac:dyDescent="0.25"/>
  <cols>
    <col min="1" max="1" width="20" customWidth="1"/>
    <col min="2" max="2" width="28" customWidth="1"/>
    <col min="3" max="3" width="48" customWidth="1"/>
    <col min="4" max="4" width="8" customWidth="1"/>
    <col min="5" max="5" width="26" customWidth="1"/>
    <col min="6" max="7" width="18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 s="2">
        <v>33.99</v>
      </c>
      <c r="G2" s="2">
        <v>33.99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1</v>
      </c>
      <c r="E3" t="s">
        <v>11</v>
      </c>
      <c r="F3" s="2">
        <v>9.99</v>
      </c>
      <c r="G3" s="2">
        <v>9.99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>
        <v>1</v>
      </c>
      <c r="E4" t="s">
        <v>11</v>
      </c>
      <c r="F4" s="2">
        <v>11.68</v>
      </c>
      <c r="G4" s="2">
        <v>11.68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>
        <v>1</v>
      </c>
      <c r="E5" t="s">
        <v>11</v>
      </c>
      <c r="F5" s="2">
        <v>9.98</v>
      </c>
      <c r="G5" s="2">
        <v>9.98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>
        <v>1</v>
      </c>
      <c r="E6" t="s">
        <v>11</v>
      </c>
      <c r="F6" s="2">
        <v>20.99</v>
      </c>
      <c r="G6" s="2">
        <v>20.99</v>
      </c>
      <c r="H6" t="s">
        <v>12</v>
      </c>
    </row>
    <row r="7" spans="1:8" x14ac:dyDescent="0.25">
      <c r="A7" t="s">
        <v>16</v>
      </c>
      <c r="B7" t="s">
        <v>25</v>
      </c>
      <c r="C7" t="s">
        <v>26</v>
      </c>
      <c r="D7">
        <v>1</v>
      </c>
      <c r="E7" t="s">
        <v>11</v>
      </c>
      <c r="F7" s="2">
        <v>14.99</v>
      </c>
      <c r="G7" s="2">
        <v>14.99</v>
      </c>
      <c r="H7" t="s">
        <v>12</v>
      </c>
    </row>
    <row r="8" spans="1:8" x14ac:dyDescent="0.25">
      <c r="A8" t="s">
        <v>27</v>
      </c>
      <c r="B8" t="s">
        <v>28</v>
      </c>
      <c r="C8" t="s">
        <v>29</v>
      </c>
      <c r="D8">
        <v>1</v>
      </c>
      <c r="E8" t="s">
        <v>11</v>
      </c>
      <c r="F8" s="2">
        <v>8.99</v>
      </c>
      <c r="G8" s="2">
        <v>8.99</v>
      </c>
      <c r="H8" t="s">
        <v>12</v>
      </c>
    </row>
    <row r="9" spans="1:8" x14ac:dyDescent="0.25">
      <c r="A9" t="s">
        <v>16</v>
      </c>
      <c r="B9" t="s">
        <v>30</v>
      </c>
      <c r="C9" t="s">
        <v>31</v>
      </c>
      <c r="D9">
        <v>1</v>
      </c>
      <c r="E9" t="s">
        <v>11</v>
      </c>
      <c r="F9" s="2">
        <v>9.99</v>
      </c>
      <c r="G9" s="2">
        <v>9.99</v>
      </c>
      <c r="H9" t="s">
        <v>12</v>
      </c>
    </row>
    <row r="10" spans="1:8" x14ac:dyDescent="0.25">
      <c r="A10" t="s">
        <v>19</v>
      </c>
      <c r="B10" t="s">
        <v>32</v>
      </c>
      <c r="C10" t="s">
        <v>33</v>
      </c>
      <c r="D10">
        <v>1</v>
      </c>
      <c r="E10" t="s">
        <v>11</v>
      </c>
      <c r="F10" s="2">
        <v>10.69</v>
      </c>
      <c r="G10" s="2">
        <v>10.69</v>
      </c>
      <c r="H10" t="s">
        <v>12</v>
      </c>
    </row>
    <row r="11" spans="1:8" x14ac:dyDescent="0.25">
      <c r="A11" t="s">
        <v>19</v>
      </c>
      <c r="B11" t="s">
        <v>34</v>
      </c>
      <c r="C11" t="s">
        <v>35</v>
      </c>
      <c r="D11">
        <v>1</v>
      </c>
      <c r="E11" t="s">
        <v>11</v>
      </c>
      <c r="F11" s="2">
        <v>20.99</v>
      </c>
      <c r="G11" s="2">
        <v>20.99</v>
      </c>
      <c r="H11" t="s">
        <v>12</v>
      </c>
    </row>
    <row r="12" spans="1:8" x14ac:dyDescent="0.25">
      <c r="A12" t="s">
        <v>19</v>
      </c>
      <c r="B12" t="s">
        <v>36</v>
      </c>
      <c r="C12" t="s">
        <v>37</v>
      </c>
      <c r="D12">
        <v>1</v>
      </c>
      <c r="E12" t="s">
        <v>11</v>
      </c>
      <c r="F12" s="2">
        <v>7.94</v>
      </c>
      <c r="G12" s="2">
        <v>7.94</v>
      </c>
      <c r="H12" t="s">
        <v>12</v>
      </c>
    </row>
    <row r="13" spans="1:8" x14ac:dyDescent="0.25">
      <c r="A13" t="s">
        <v>22</v>
      </c>
      <c r="B13" t="s">
        <v>38</v>
      </c>
      <c r="C13" t="s">
        <v>39</v>
      </c>
      <c r="D13">
        <v>1</v>
      </c>
      <c r="E13" t="s">
        <v>11</v>
      </c>
      <c r="F13" s="2">
        <v>29.99</v>
      </c>
      <c r="G13" s="2">
        <v>29.99</v>
      </c>
      <c r="H13" t="s">
        <v>12</v>
      </c>
    </row>
    <row r="14" spans="1:8" x14ac:dyDescent="0.25">
      <c r="A14" t="s">
        <v>27</v>
      </c>
      <c r="B14" t="s">
        <v>40</v>
      </c>
      <c r="C14" t="s">
        <v>41</v>
      </c>
      <c r="D14">
        <v>1</v>
      </c>
      <c r="E14" t="s">
        <v>11</v>
      </c>
      <c r="F14" s="2">
        <v>30.59</v>
      </c>
      <c r="G14" s="2">
        <v>30.59</v>
      </c>
      <c r="H14" t="s">
        <v>12</v>
      </c>
    </row>
    <row r="15" spans="1:8" x14ac:dyDescent="0.25">
      <c r="A15" t="s">
        <v>42</v>
      </c>
      <c r="B15" t="s">
        <v>43</v>
      </c>
      <c r="C15" t="s">
        <v>44</v>
      </c>
      <c r="D15">
        <v>1</v>
      </c>
      <c r="E15" t="s">
        <v>11</v>
      </c>
      <c r="F15" s="2">
        <v>11.99</v>
      </c>
      <c r="G15" s="2">
        <v>11.99</v>
      </c>
      <c r="H15" t="s">
        <v>12</v>
      </c>
    </row>
    <row r="16" spans="1:8" x14ac:dyDescent="0.25">
      <c r="A16" t="s">
        <v>27</v>
      </c>
      <c r="B16" t="s">
        <v>45</v>
      </c>
      <c r="C16" t="s">
        <v>46</v>
      </c>
      <c r="D16">
        <v>1</v>
      </c>
      <c r="E16" t="s">
        <v>47</v>
      </c>
      <c r="F16" s="2">
        <v>15.5</v>
      </c>
      <c r="G16" s="2">
        <v>15.5</v>
      </c>
      <c r="H16" t="s">
        <v>12</v>
      </c>
    </row>
    <row r="17" spans="1:8" x14ac:dyDescent="0.25">
      <c r="A17" t="s">
        <v>42</v>
      </c>
      <c r="B17" t="s">
        <v>48</v>
      </c>
      <c r="C17" t="s">
        <v>49</v>
      </c>
      <c r="D17">
        <v>1</v>
      </c>
      <c r="E17" t="s">
        <v>50</v>
      </c>
      <c r="F17" s="2">
        <v>9.98</v>
      </c>
      <c r="G17" s="2">
        <v>9.98</v>
      </c>
      <c r="H17" t="s">
        <v>12</v>
      </c>
    </row>
    <row r="18" spans="1:8" x14ac:dyDescent="0.25">
      <c r="A18" t="s">
        <v>19</v>
      </c>
      <c r="B18" t="s">
        <v>51</v>
      </c>
      <c r="C18" t="s">
        <v>52</v>
      </c>
      <c r="D18">
        <v>2</v>
      </c>
      <c r="E18" t="s">
        <v>50</v>
      </c>
      <c r="F18" s="2">
        <v>1.98</v>
      </c>
      <c r="G18" s="2">
        <v>3.96</v>
      </c>
      <c r="H18" t="s">
        <v>12</v>
      </c>
    </row>
    <row r="19" spans="1:8" x14ac:dyDescent="0.25">
      <c r="A19" t="s">
        <v>13</v>
      </c>
      <c r="B19" t="s">
        <v>53</v>
      </c>
      <c r="C19" t="s">
        <v>54</v>
      </c>
      <c r="D19">
        <v>3</v>
      </c>
      <c r="E19" t="s">
        <v>50</v>
      </c>
      <c r="F19" s="2">
        <v>11.98</v>
      </c>
      <c r="G19" s="2">
        <v>35.94</v>
      </c>
      <c r="H19" t="s">
        <v>12</v>
      </c>
    </row>
    <row r="20" spans="1:8" x14ac:dyDescent="0.25">
      <c r="A20" t="s">
        <v>42</v>
      </c>
      <c r="B20" t="s">
        <v>55</v>
      </c>
      <c r="C20" t="s">
        <v>56</v>
      </c>
      <c r="D20">
        <v>1</v>
      </c>
      <c r="E20" t="s">
        <v>57</v>
      </c>
      <c r="F20" s="2">
        <v>6.98</v>
      </c>
      <c r="G20" s="2">
        <v>6.98</v>
      </c>
      <c r="H20" t="s">
        <v>12</v>
      </c>
    </row>
    <row r="21" spans="1:8" x14ac:dyDescent="0.25">
      <c r="A21" t="s">
        <v>13</v>
      </c>
      <c r="B21" t="s">
        <v>58</v>
      </c>
      <c r="C21" t="s">
        <v>59</v>
      </c>
      <c r="D21">
        <v>2</v>
      </c>
      <c r="E21" t="s">
        <v>57</v>
      </c>
      <c r="F21" s="2">
        <v>6.77</v>
      </c>
      <c r="G21" s="2">
        <v>13.54</v>
      </c>
      <c r="H21" t="s">
        <v>12</v>
      </c>
    </row>
    <row r="22" spans="1:8" x14ac:dyDescent="0.25">
      <c r="A22" t="s">
        <v>13</v>
      </c>
      <c r="B22" t="s">
        <v>60</v>
      </c>
      <c r="C22" t="s">
        <v>59</v>
      </c>
      <c r="D22">
        <v>1</v>
      </c>
      <c r="E22" t="s">
        <v>57</v>
      </c>
      <c r="F22" s="2">
        <v>3.77</v>
      </c>
      <c r="G22" s="2">
        <v>3.77</v>
      </c>
      <c r="H22" t="s">
        <v>12</v>
      </c>
    </row>
    <row r="23" spans="1:8" x14ac:dyDescent="0.25">
      <c r="A23" t="s">
        <v>13</v>
      </c>
      <c r="B23" t="s">
        <v>61</v>
      </c>
      <c r="C23" t="s">
        <v>62</v>
      </c>
      <c r="D23">
        <v>4</v>
      </c>
      <c r="E23" t="s">
        <v>57</v>
      </c>
      <c r="F23" s="2">
        <v>1.57</v>
      </c>
      <c r="G23" s="2">
        <v>6.28</v>
      </c>
      <c r="H23" t="s">
        <v>12</v>
      </c>
    </row>
    <row r="24" spans="1:8" x14ac:dyDescent="0.25">
      <c r="A24" t="s">
        <v>13</v>
      </c>
      <c r="B24" t="s">
        <v>63</v>
      </c>
      <c r="C24" t="s">
        <v>62</v>
      </c>
      <c r="D24">
        <v>2</v>
      </c>
      <c r="E24" t="s">
        <v>57</v>
      </c>
      <c r="F24" s="2">
        <v>1.57</v>
      </c>
      <c r="G24" s="2">
        <v>3.14</v>
      </c>
      <c r="H24" t="s">
        <v>12</v>
      </c>
    </row>
    <row r="25" spans="1:8" x14ac:dyDescent="0.25">
      <c r="A25" t="s">
        <v>13</v>
      </c>
      <c r="B25" t="s">
        <v>64</v>
      </c>
      <c r="C25" t="s">
        <v>65</v>
      </c>
      <c r="D25">
        <v>2</v>
      </c>
      <c r="E25" t="s">
        <v>57</v>
      </c>
      <c r="F25" s="2">
        <v>1.57</v>
      </c>
      <c r="G25" s="2">
        <v>3.14</v>
      </c>
      <c r="H25" t="s">
        <v>12</v>
      </c>
    </row>
    <row r="26" spans="1:8" x14ac:dyDescent="0.25">
      <c r="A26" t="s">
        <v>13</v>
      </c>
      <c r="B26" t="s">
        <v>66</v>
      </c>
      <c r="C26" t="s">
        <v>67</v>
      </c>
      <c r="D26">
        <v>2</v>
      </c>
      <c r="E26" t="s">
        <v>57</v>
      </c>
      <c r="F26" s="2">
        <v>6.87</v>
      </c>
      <c r="G26" s="2">
        <v>13.74</v>
      </c>
      <c r="H26" t="s">
        <v>12</v>
      </c>
    </row>
    <row r="27" spans="1:8" x14ac:dyDescent="0.25">
      <c r="A27" t="s">
        <v>19</v>
      </c>
      <c r="B27" t="s">
        <v>68</v>
      </c>
      <c r="C27" t="s">
        <v>69</v>
      </c>
      <c r="D27">
        <v>1</v>
      </c>
      <c r="E27" t="s">
        <v>57</v>
      </c>
      <c r="F27" s="2">
        <v>16.97</v>
      </c>
      <c r="G27" s="2">
        <v>16.97</v>
      </c>
      <c r="H27" t="s">
        <v>12</v>
      </c>
    </row>
    <row r="28" spans="1:8" x14ac:dyDescent="0.25">
      <c r="A28" t="s">
        <v>70</v>
      </c>
      <c r="B28" t="s">
        <v>71</v>
      </c>
      <c r="C28" t="s">
        <v>72</v>
      </c>
      <c r="D28">
        <v>2</v>
      </c>
      <c r="E28" t="s">
        <v>57</v>
      </c>
      <c r="F28" s="2">
        <v>28.98</v>
      </c>
      <c r="G28" s="2">
        <v>57.96</v>
      </c>
      <c r="H28" t="s">
        <v>12</v>
      </c>
    </row>
    <row r="29" spans="1:8" x14ac:dyDescent="0.25">
      <c r="A29" t="s">
        <v>70</v>
      </c>
      <c r="B29" t="s">
        <v>73</v>
      </c>
      <c r="C29" t="s">
        <v>74</v>
      </c>
      <c r="D29">
        <v>2</v>
      </c>
      <c r="E29" t="s">
        <v>57</v>
      </c>
      <c r="F29" s="2">
        <v>3.25</v>
      </c>
      <c r="G29" s="2">
        <v>6.5</v>
      </c>
      <c r="H29" t="s">
        <v>12</v>
      </c>
    </row>
    <row r="30" spans="1:8" x14ac:dyDescent="0.25">
      <c r="A30" t="s">
        <v>70</v>
      </c>
      <c r="B30" t="s">
        <v>75</v>
      </c>
      <c r="C30" t="s">
        <v>76</v>
      </c>
      <c r="D30">
        <v>1</v>
      </c>
      <c r="E30" t="s">
        <v>57</v>
      </c>
      <c r="F30" s="2">
        <v>31.5</v>
      </c>
      <c r="G30" s="2">
        <v>31.5</v>
      </c>
      <c r="H30" t="s">
        <v>12</v>
      </c>
    </row>
    <row r="32" spans="1:8" x14ac:dyDescent="0.25">
      <c r="F32" s="3" t="s">
        <v>77</v>
      </c>
      <c r="G32" s="4">
        <f>SUMIF(E2:E30,"Amazon",G2:G30)</f>
        <v>232.79000000000002</v>
      </c>
    </row>
    <row r="33" spans="6:7" x14ac:dyDescent="0.25">
      <c r="F33" t="s">
        <v>78</v>
      </c>
      <c r="G33" s="2">
        <f>SUMIF(E2:E30,"SparkFun",G2:G30)</f>
        <v>15.5</v>
      </c>
    </row>
    <row r="34" spans="6:7" x14ac:dyDescent="0.25">
      <c r="F34" t="s">
        <v>79</v>
      </c>
      <c r="G34" s="2">
        <v>51.97</v>
      </c>
    </row>
    <row r="35" spans="6:7" x14ac:dyDescent="0.25">
      <c r="F35" t="s">
        <v>80</v>
      </c>
      <c r="G35" s="2">
        <v>177.42</v>
      </c>
    </row>
    <row r="36" spans="6:7" x14ac:dyDescent="0.25">
      <c r="F36" s="3" t="s">
        <v>81</v>
      </c>
      <c r="G36" s="4">
        <f>G35+G32+G33+G34</f>
        <v>477.68000000000006</v>
      </c>
    </row>
    <row r="37" spans="6:7" x14ac:dyDescent="0.25">
      <c r="G37" s="2"/>
    </row>
    <row r="38" spans="6:7" x14ac:dyDescent="0.25">
      <c r="G38" s="2"/>
    </row>
    <row r="39" spans="6:7" x14ac:dyDescent="0.25">
      <c r="F39" s="3"/>
      <c r="G39" s="4"/>
    </row>
  </sheetData>
  <autoFilter ref="A1:H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Sue Dickinson</cp:lastModifiedBy>
  <dcterms:created xsi:type="dcterms:W3CDTF">2026-07-15T22:22:53Z</dcterms:created>
  <dcterms:modified xsi:type="dcterms:W3CDTF">2026-09-08T03:40:53Z</dcterms:modified>
</cp:coreProperties>
</file>